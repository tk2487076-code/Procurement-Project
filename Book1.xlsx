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f736f68d610a72/Desktop/Procurement/"/>
    </mc:Choice>
  </mc:AlternateContent>
  <xr:revisionPtr revIDLastSave="0" documentId="8_{1D3B3E7C-6D61-46B7-9663-6B6FA670343B}" xr6:coauthVersionLast="47" xr6:coauthVersionMax="47" xr10:uidLastSave="{00000000-0000-0000-0000-000000000000}"/>
  <bookViews>
    <workbookView xWindow="-108" yWindow="-108" windowWidth="23256" windowHeight="12456" xr2:uid="{8162552C-26BE-48FF-8842-6602590DCD2B}"/>
  </bookViews>
  <sheets>
    <sheet name="Vendor data base" sheetId="2" r:id="rId1"/>
    <sheet name="vendor quotation comparison " sheetId="1" r:id="rId2"/>
    <sheet name="Purchase orders" sheetId="3" r:id="rId3"/>
    <sheet name="MIS Report" sheetId="4" r:id="rId4"/>
  </sheets>
  <definedNames>
    <definedName name="_xlcn.WorksheetConnection_PurchaseordersA4F341" hidden="1">'Purchase orders'!$A$4:$F$34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Purchase orders!$A$4:$F$3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5" i="1" l="1"/>
  <c r="L13" i="1"/>
  <c r="L11" i="1"/>
  <c r="L9" i="1"/>
  <c r="L7" i="1"/>
  <c r="L17" i="1" s="1"/>
  <c r="I15" i="1"/>
  <c r="I13" i="1"/>
  <c r="I11" i="1"/>
  <c r="I9" i="1"/>
  <c r="I7" i="1"/>
  <c r="I17" i="1" s="1"/>
  <c r="F9" i="1"/>
  <c r="F11" i="1"/>
  <c r="F13" i="1"/>
  <c r="F15" i="1"/>
  <c r="F7" i="1"/>
  <c r="F1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F61D65-CA8A-44F2-B228-62FC5F374FE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0DC1D4-1B33-4CD0-8249-EAA2D63E26D0}" name="WorksheetConnection_Purchase orders!$A$4:$F$3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urchaseordersA4F341"/>
        </x15:connection>
      </ext>
    </extLst>
  </connection>
</connections>
</file>

<file path=xl/sharedStrings.xml><?xml version="1.0" encoding="utf-8"?>
<sst xmlns="http://schemas.openxmlformats.org/spreadsheetml/2006/main" count="180" uniqueCount="93">
  <si>
    <t>Sr.</t>
  </si>
  <si>
    <t>Item Desc</t>
  </si>
  <si>
    <t>Qty</t>
  </si>
  <si>
    <t>Amount</t>
  </si>
  <si>
    <t>Modules</t>
  </si>
  <si>
    <t>Inverters</t>
  </si>
  <si>
    <t>Cables</t>
  </si>
  <si>
    <t>Structures</t>
  </si>
  <si>
    <t>Bos</t>
  </si>
  <si>
    <t>Rate</t>
  </si>
  <si>
    <t>total</t>
  </si>
  <si>
    <t>Vendor (1)</t>
  </si>
  <si>
    <t>Vendor (2)</t>
  </si>
  <si>
    <t>Vendor (3)</t>
  </si>
  <si>
    <t>Company</t>
  </si>
  <si>
    <t>Procurement</t>
  </si>
  <si>
    <t>prepared by - Tanish</t>
  </si>
  <si>
    <t>Vendor Quotation Comparison sheet</t>
  </si>
  <si>
    <t>Duration</t>
  </si>
  <si>
    <t>Terms of payment</t>
  </si>
  <si>
    <t>Past history</t>
  </si>
  <si>
    <t>90 Days</t>
  </si>
  <si>
    <t>100 Days</t>
  </si>
  <si>
    <t>30 Days</t>
  </si>
  <si>
    <t>45 Days</t>
  </si>
  <si>
    <t>60 Days</t>
  </si>
  <si>
    <t>Good Performance</t>
  </si>
  <si>
    <t>Vendor ID</t>
  </si>
  <si>
    <t>Vendor Name</t>
  </si>
  <si>
    <t>Material</t>
  </si>
  <si>
    <t>Contact person</t>
  </si>
  <si>
    <t>Phone</t>
  </si>
  <si>
    <t>GSTIN</t>
  </si>
  <si>
    <t>Location</t>
  </si>
  <si>
    <t>Status</t>
  </si>
  <si>
    <t>V001</t>
  </si>
  <si>
    <t>V002</t>
  </si>
  <si>
    <t>V003</t>
  </si>
  <si>
    <t>V004</t>
  </si>
  <si>
    <t>V005</t>
  </si>
  <si>
    <t>ABC Solar</t>
  </si>
  <si>
    <t>XYZ Energy</t>
  </si>
  <si>
    <t>PowerTech</t>
  </si>
  <si>
    <t>ABC Cables</t>
  </si>
  <si>
    <t>GoElectric</t>
  </si>
  <si>
    <t>Inverter</t>
  </si>
  <si>
    <t>Rahul</t>
  </si>
  <si>
    <t>Amit</t>
  </si>
  <si>
    <t>Neha</t>
  </si>
  <si>
    <t>Mukesh</t>
  </si>
  <si>
    <t>Rohit</t>
  </si>
  <si>
    <t>98XXXXXXXX</t>
  </si>
  <si>
    <t>97XXXXXXXX</t>
  </si>
  <si>
    <t>99XXXXXXXX</t>
  </si>
  <si>
    <t>89XXXXXXXX</t>
  </si>
  <si>
    <t>82XXXXXXXX</t>
  </si>
  <si>
    <t>GST123</t>
  </si>
  <si>
    <t>GST456</t>
  </si>
  <si>
    <t>GST789</t>
  </si>
  <si>
    <t>GST1122</t>
  </si>
  <si>
    <t>GST1455</t>
  </si>
  <si>
    <t>Delhi</t>
  </si>
  <si>
    <t>Noida</t>
  </si>
  <si>
    <t>Jaipur</t>
  </si>
  <si>
    <t>Gurugram</t>
  </si>
  <si>
    <t>Anand Vihar</t>
  </si>
  <si>
    <t>Approved</t>
  </si>
  <si>
    <t>Prepared by - Tanish</t>
  </si>
  <si>
    <t>Vendor data Base</t>
  </si>
  <si>
    <t>Item</t>
  </si>
  <si>
    <t>BOS</t>
  </si>
  <si>
    <t>Row Labels</t>
  </si>
  <si>
    <t>Grand Total</t>
  </si>
  <si>
    <t>Column Labels</t>
  </si>
  <si>
    <t>Sum of Amount</t>
  </si>
  <si>
    <t>Purchase order</t>
  </si>
  <si>
    <t>Pivot Table</t>
  </si>
  <si>
    <t>Vendor</t>
  </si>
  <si>
    <t>Total Quotation</t>
  </si>
  <si>
    <t>Payment Terms</t>
  </si>
  <si>
    <t>Remarks</t>
  </si>
  <si>
    <t>₹10,79,700</t>
  </si>
  <si>
    <t>Lowest overall</t>
  </si>
  <si>
    <t>₹14,39,700</t>
  </si>
  <si>
    <t>Highest quotation</t>
  </si>
  <si>
    <t>₹4,14,700</t>
  </si>
  <si>
    <t>Lowest quotation</t>
  </si>
  <si>
    <t>Vendor Quotation Summary</t>
  </si>
  <si>
    <t>Procurement Observation</t>
  </si>
  <si>
    <t>1. Lowest quotation: PowerTech</t>
  </si>
  <si>
    <t>2.  Highest quotation: XYZ Energy</t>
  </si>
  <si>
    <t>3. ABC Solar has the shortest delivery duration.</t>
  </si>
  <si>
    <t>4. Payment terms vary between 30–60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</si>
</sst>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left" vertical="center"/>
    </xf>
    <xf numFmtId="2" fontId="1" fillId="0" borderId="14" xfId="0" applyNumberFormat="1" applyFont="1" applyBorder="1" applyAlignment="1">
      <alignment horizontal="left" vertical="center"/>
    </xf>
    <xf numFmtId="2" fontId="1" fillId="0" borderId="15" xfId="0" applyNumberFormat="1" applyFont="1" applyBorder="1" applyAlignment="1">
      <alignment horizontal="left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47.868628819444" backgroundQuery="1" createdVersion="8" refreshedVersion="8" minRefreshableVersion="3" recordCount="0" supportSubquery="1" supportAdvancedDrill="1" xr:uid="{FB7825A2-0BF3-4CCA-923C-78C98F54ADBA}">
  <cacheSource type="external" connectionId="1"/>
  <cacheFields count="3">
    <cacheField name="[Range].[Vendor Name].[Vendor Name]" caption="Vendor Name" numFmtId="0" hierarchy="1" level="1">
      <sharedItems count="3">
        <s v="ABC Solar"/>
        <s v="PowerTech"/>
        <s v="XYZ Energy"/>
      </sharedItems>
    </cacheField>
    <cacheField name="[Range].[Item].[Item]" caption="Item" numFmtId="0" hierarchy="2" level="1">
      <sharedItems count="5">
        <s v="BOS"/>
        <s v="Cables"/>
        <s v="Inverters"/>
        <s v="Modules"/>
        <s v="Structures"/>
      </sharedItems>
    </cacheField>
    <cacheField name="[Measures].[Sum of Amount]" caption="Sum of Amount" numFmtId="0" hierarchy="8" level="32767"/>
  </cacheFields>
  <cacheHierarchies count="9">
    <cacheHierarchy uniqueName="[Range].[Vendor ID]" caption="Vendor ID" attribute="1" defaultMemberUniqueName="[Range].[Vendor ID].[All]" allUniqueName="[Range].[Vendor ID].[All]" dimensionUniqueName="[Range]" displayFolder="" count="0" memberValueDatatype="130" unbalanced="0"/>
    <cacheHierarchy uniqueName="[Range].[Vendor Name]" caption="Vendor Name" attribute="1" defaultMemberUniqueName="[Range].[Vendor Name].[All]" allUniqueName="[Range].[Vendor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tem]" caption="Item" attribute="1" defaultMemberUniqueName="[Range].[Item].[All]" allUniqueName="[Range].[Item].[All]" dimensionUniqueName="[Range]" displayFolder="" count="2" memberValueDatatype="130" unbalanced="0">
      <fieldsUsage count="2">
        <fieldUsage x="-1"/>
        <fieldUsage x="1"/>
      </fieldsUsage>
    </cacheHierarchy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Range].[Rate]" caption="Rate" attribute="1" defaultMemberUniqueName="[Range].[Rate].[All]" allUniqueName="[Range].[Rate].[All]" dimensionUniqueName="[Range]" displayFolder="" count="0" memberValueDatatype="2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C24AA-8F83-4E88-90EB-DF3EA4CEAB38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2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urchase orders!$A$4:$F$3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1F18A-B522-4A6E-90BB-531CC7DA3093}" name="Table1" displayName="Table1" ref="A14:E17" totalsRowShown="0" headerRowDxfId="0" dataDxfId="1" tableBorderDxfId="7">
  <autoFilter ref="A14:E17" xr:uid="{AFB1F18A-B522-4A6E-90BB-531CC7DA3093}"/>
  <tableColumns count="5">
    <tableColumn id="1" xr3:uid="{8155CF3A-810F-44EC-999B-93B620CE89BD}" name="Vendor" dataDxfId="6"/>
    <tableColumn id="2" xr3:uid="{5265C0E5-085F-40A5-A08F-D42A7711317E}" name="Total Quotation" dataDxfId="5"/>
    <tableColumn id="3" xr3:uid="{ADE9D77F-BB2F-4884-AE01-8A758702250C}" name="Duration" dataDxfId="4"/>
    <tableColumn id="4" xr3:uid="{9614364C-B671-472B-A190-D4202187B5BB}" name="Payment Terms" dataDxfId="3"/>
    <tableColumn id="5" xr3:uid="{758C3E4E-9290-4674-98F4-473232087CF9}" name="Remark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4AF4-2DBD-4749-BE46-BCE5B06D1AF7}">
  <dimension ref="B1:I14"/>
  <sheetViews>
    <sheetView tabSelected="1" workbookViewId="0">
      <selection activeCell="C28" sqref="C28"/>
    </sheetView>
  </sheetViews>
  <sheetFormatPr defaultRowHeight="14.4" x14ac:dyDescent="0.3"/>
  <cols>
    <col min="2" max="2" width="10.33203125" customWidth="1"/>
    <col min="3" max="4" width="18.5546875" customWidth="1"/>
    <col min="5" max="5" width="14.5546875" customWidth="1"/>
    <col min="6" max="6" width="11" bestFit="1" customWidth="1"/>
    <col min="7" max="7" width="12.6640625" customWidth="1"/>
    <col min="8" max="8" width="11" customWidth="1"/>
  </cols>
  <sheetData>
    <row r="1" spans="2:9" x14ac:dyDescent="0.3">
      <c r="C1" s="35" t="s">
        <v>14</v>
      </c>
      <c r="D1" s="40" t="s">
        <v>68</v>
      </c>
      <c r="E1" s="41"/>
      <c r="F1" s="41"/>
      <c r="G1" s="41"/>
      <c r="H1" s="41"/>
      <c r="I1" s="42"/>
    </row>
    <row r="2" spans="2:9" x14ac:dyDescent="0.3">
      <c r="C2" s="36" t="s">
        <v>15</v>
      </c>
      <c r="D2" s="43"/>
      <c r="E2" s="44"/>
      <c r="F2" s="44"/>
      <c r="G2" s="44"/>
      <c r="H2" s="44"/>
      <c r="I2" s="45"/>
    </row>
    <row r="3" spans="2:9" x14ac:dyDescent="0.3">
      <c r="C3" s="37" t="s">
        <v>67</v>
      </c>
      <c r="D3" s="46"/>
      <c r="E3" s="39"/>
      <c r="F3" s="39"/>
      <c r="G3" s="39"/>
      <c r="H3" s="39"/>
      <c r="I3" s="47"/>
    </row>
    <row r="4" spans="2:9" x14ac:dyDescent="0.3">
      <c r="B4" s="34" t="s">
        <v>27</v>
      </c>
      <c r="C4" s="34" t="s">
        <v>28</v>
      </c>
      <c r="D4" s="33" t="s">
        <v>29</v>
      </c>
      <c r="E4" s="34" t="s">
        <v>30</v>
      </c>
      <c r="F4" s="34" t="s">
        <v>31</v>
      </c>
      <c r="G4" s="34" t="s">
        <v>32</v>
      </c>
      <c r="H4" s="34" t="s">
        <v>33</v>
      </c>
      <c r="I4" s="34" t="s">
        <v>34</v>
      </c>
    </row>
    <row r="5" spans="2:9" x14ac:dyDescent="0.3">
      <c r="B5" s="34"/>
      <c r="C5" s="34"/>
      <c r="D5" s="33"/>
      <c r="E5" s="35"/>
      <c r="F5" s="34"/>
      <c r="G5" s="34"/>
      <c r="H5" s="34"/>
      <c r="I5" s="34"/>
    </row>
    <row r="6" spans="2:9" x14ac:dyDescent="0.3">
      <c r="B6" s="34" t="s">
        <v>35</v>
      </c>
      <c r="C6" s="34" t="s">
        <v>40</v>
      </c>
      <c r="D6" s="34" t="s">
        <v>4</v>
      </c>
      <c r="E6" s="35" t="s">
        <v>46</v>
      </c>
      <c r="F6" s="34" t="s">
        <v>51</v>
      </c>
      <c r="G6" s="34" t="s">
        <v>56</v>
      </c>
      <c r="H6" s="34" t="s">
        <v>61</v>
      </c>
      <c r="I6" s="34" t="s">
        <v>66</v>
      </c>
    </row>
    <row r="7" spans="2:9" x14ac:dyDescent="0.3">
      <c r="B7" s="34"/>
      <c r="C7" s="34"/>
      <c r="D7" s="34"/>
      <c r="E7" s="35"/>
      <c r="F7" s="34"/>
      <c r="G7" s="36"/>
      <c r="H7" s="34"/>
      <c r="I7" s="34"/>
    </row>
    <row r="8" spans="2:9" x14ac:dyDescent="0.3">
      <c r="B8" s="34" t="s">
        <v>36</v>
      </c>
      <c r="C8" s="34" t="s">
        <v>41</v>
      </c>
      <c r="D8" s="34" t="s">
        <v>45</v>
      </c>
      <c r="E8" s="34" t="s">
        <v>47</v>
      </c>
      <c r="F8" s="34" t="s">
        <v>52</v>
      </c>
      <c r="G8" s="36" t="s">
        <v>57</v>
      </c>
      <c r="H8" s="34" t="s">
        <v>62</v>
      </c>
      <c r="I8" s="34" t="s">
        <v>66</v>
      </c>
    </row>
    <row r="9" spans="2:9" x14ac:dyDescent="0.3">
      <c r="B9" s="34"/>
      <c r="C9" s="34"/>
      <c r="D9" s="34"/>
      <c r="E9" s="34"/>
      <c r="F9" s="34"/>
      <c r="G9" s="36"/>
      <c r="H9" s="34"/>
      <c r="I9" s="36"/>
    </row>
    <row r="10" spans="2:9" x14ac:dyDescent="0.3">
      <c r="B10" s="34" t="s">
        <v>37</v>
      </c>
      <c r="C10" s="34" t="s">
        <v>42</v>
      </c>
      <c r="D10" s="34" t="s">
        <v>6</v>
      </c>
      <c r="E10" s="34" t="s">
        <v>48</v>
      </c>
      <c r="F10" s="34" t="s">
        <v>53</v>
      </c>
      <c r="G10" s="34" t="s">
        <v>58</v>
      </c>
      <c r="H10" s="34" t="s">
        <v>63</v>
      </c>
      <c r="I10" s="36" t="s">
        <v>66</v>
      </c>
    </row>
    <row r="11" spans="2:9" x14ac:dyDescent="0.3">
      <c r="B11" s="34"/>
      <c r="C11" s="34"/>
      <c r="D11" s="34"/>
      <c r="E11" s="34"/>
      <c r="F11" s="34"/>
      <c r="G11" s="34"/>
      <c r="H11" s="34"/>
      <c r="I11" s="36"/>
    </row>
    <row r="12" spans="2:9" x14ac:dyDescent="0.3">
      <c r="B12" s="34" t="s">
        <v>38</v>
      </c>
      <c r="C12" s="34" t="s">
        <v>43</v>
      </c>
      <c r="D12" s="34" t="s">
        <v>7</v>
      </c>
      <c r="E12" s="34" t="s">
        <v>49</v>
      </c>
      <c r="F12" s="34" t="s">
        <v>54</v>
      </c>
      <c r="G12" s="34" t="s">
        <v>59</v>
      </c>
      <c r="H12" s="34" t="s">
        <v>64</v>
      </c>
      <c r="I12" s="34" t="s">
        <v>66</v>
      </c>
    </row>
    <row r="13" spans="2:9" x14ac:dyDescent="0.3">
      <c r="B13" s="37"/>
      <c r="C13" s="37"/>
      <c r="D13" s="37"/>
      <c r="E13" s="37"/>
      <c r="F13" s="37"/>
      <c r="G13" s="37"/>
      <c r="H13" s="37"/>
      <c r="I13" s="37"/>
    </row>
    <row r="14" spans="2:9" x14ac:dyDescent="0.3">
      <c r="B14" s="37" t="s">
        <v>39</v>
      </c>
      <c r="C14" s="37" t="s">
        <v>44</v>
      </c>
      <c r="D14" s="37" t="s">
        <v>8</v>
      </c>
      <c r="E14" s="37" t="s">
        <v>50</v>
      </c>
      <c r="F14" s="37" t="s">
        <v>55</v>
      </c>
      <c r="G14" s="37" t="s">
        <v>60</v>
      </c>
      <c r="H14" s="37" t="s">
        <v>65</v>
      </c>
      <c r="I14" s="37" t="s">
        <v>66</v>
      </c>
    </row>
  </sheetData>
  <mergeCells count="1">
    <mergeCell ref="D1:I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69C9-D34F-4673-82AF-095BDA48E764}">
  <dimension ref="B1:L20"/>
  <sheetViews>
    <sheetView workbookViewId="0">
      <selection activeCell="M16" sqref="M16"/>
    </sheetView>
  </sheetViews>
  <sheetFormatPr defaultRowHeight="14.4" x14ac:dyDescent="0.3"/>
  <cols>
    <col min="1" max="1" width="6.77734375" style="1" customWidth="1"/>
    <col min="2" max="2" width="4.33203125" style="1" customWidth="1"/>
    <col min="3" max="3" width="19.6640625" style="1" customWidth="1"/>
    <col min="4" max="5" width="8.88671875" style="1"/>
    <col min="6" max="6" width="10.5546875" style="1" bestFit="1" customWidth="1"/>
    <col min="7" max="8" width="8.88671875" style="1"/>
    <col min="9" max="9" width="10.5546875" style="1" bestFit="1" customWidth="1"/>
    <col min="10" max="11" width="8.88671875" style="1"/>
    <col min="12" max="12" width="13" style="1" customWidth="1"/>
    <col min="13" max="16384" width="8.88671875" style="1"/>
  </cols>
  <sheetData>
    <row r="1" spans="2:12" x14ac:dyDescent="0.3">
      <c r="C1" s="21" t="s">
        <v>14</v>
      </c>
      <c r="D1" s="24" t="s">
        <v>17</v>
      </c>
      <c r="E1" s="25"/>
      <c r="F1" s="25"/>
      <c r="G1" s="25"/>
      <c r="H1" s="25"/>
      <c r="I1" s="25"/>
      <c r="J1" s="25"/>
      <c r="K1" s="25"/>
      <c r="L1" s="26"/>
    </row>
    <row r="2" spans="2:12" x14ac:dyDescent="0.3">
      <c r="C2" s="22" t="s">
        <v>15</v>
      </c>
      <c r="D2" s="27"/>
      <c r="E2" s="28"/>
      <c r="F2" s="28"/>
      <c r="G2" s="28"/>
      <c r="H2" s="28"/>
      <c r="I2" s="28"/>
      <c r="J2" s="28"/>
      <c r="K2" s="28"/>
      <c r="L2" s="29"/>
    </row>
    <row r="3" spans="2:12" x14ac:dyDescent="0.3">
      <c r="C3" s="23" t="s">
        <v>16</v>
      </c>
      <c r="D3" s="30"/>
      <c r="E3" s="31"/>
      <c r="F3" s="31"/>
      <c r="G3" s="31"/>
      <c r="H3" s="31"/>
      <c r="I3" s="31"/>
      <c r="J3" s="31"/>
      <c r="K3" s="31"/>
      <c r="L3" s="32"/>
    </row>
    <row r="4" spans="2:12" x14ac:dyDescent="0.3">
      <c r="B4" s="17" t="s">
        <v>0</v>
      </c>
      <c r="C4" s="17" t="s">
        <v>1</v>
      </c>
      <c r="D4" s="14" t="s">
        <v>11</v>
      </c>
      <c r="E4" s="15"/>
      <c r="F4" s="16"/>
      <c r="G4" s="14" t="s">
        <v>12</v>
      </c>
      <c r="H4" s="15"/>
      <c r="I4" s="16"/>
      <c r="J4" s="14" t="s">
        <v>13</v>
      </c>
      <c r="K4" s="15"/>
      <c r="L4" s="16"/>
    </row>
    <row r="5" spans="2:12" x14ac:dyDescent="0.3">
      <c r="B5" s="18"/>
      <c r="C5" s="18"/>
      <c r="D5" s="12" t="s">
        <v>2</v>
      </c>
      <c r="E5" s="12" t="s">
        <v>9</v>
      </c>
      <c r="F5" s="13" t="s">
        <v>3</v>
      </c>
      <c r="G5" s="12" t="s">
        <v>2</v>
      </c>
      <c r="H5" s="12" t="s">
        <v>9</v>
      </c>
      <c r="I5" s="13" t="s">
        <v>3</v>
      </c>
      <c r="J5" s="12" t="s">
        <v>2</v>
      </c>
      <c r="K5" s="12" t="s">
        <v>9</v>
      </c>
      <c r="L5" s="13" t="s">
        <v>3</v>
      </c>
    </row>
    <row r="6" spans="2:12" x14ac:dyDescent="0.3">
      <c r="B6" s="8"/>
      <c r="C6" s="8"/>
      <c r="D6" s="2"/>
      <c r="E6" s="2"/>
      <c r="F6" s="11"/>
      <c r="G6" s="2"/>
      <c r="H6" s="2"/>
      <c r="I6" s="11"/>
      <c r="J6" s="2"/>
      <c r="K6" s="2"/>
      <c r="L6" s="11"/>
    </row>
    <row r="7" spans="2:12" x14ac:dyDescent="0.3">
      <c r="B7" s="5">
        <v>1</v>
      </c>
      <c r="C7" s="7" t="s">
        <v>4</v>
      </c>
      <c r="D7" s="5">
        <v>100</v>
      </c>
      <c r="E7" s="5">
        <v>1100</v>
      </c>
      <c r="F7" s="3">
        <f>D7*E7</f>
        <v>110000</v>
      </c>
      <c r="G7" s="5">
        <v>100</v>
      </c>
      <c r="H7" s="5">
        <v>1500</v>
      </c>
      <c r="I7" s="3">
        <f>G7*H7</f>
        <v>150000</v>
      </c>
      <c r="J7" s="5">
        <v>100</v>
      </c>
      <c r="K7" s="5">
        <v>200</v>
      </c>
      <c r="L7" s="3">
        <f>J7*K7</f>
        <v>20000</v>
      </c>
    </row>
    <row r="8" spans="2:12" x14ac:dyDescent="0.3">
      <c r="B8" s="6"/>
      <c r="C8" s="8"/>
      <c r="D8" s="6"/>
      <c r="E8" s="6"/>
      <c r="F8" s="4"/>
      <c r="G8" s="6"/>
      <c r="H8" s="6"/>
      <c r="I8" s="4"/>
      <c r="J8" s="6"/>
      <c r="K8" s="6"/>
      <c r="L8" s="4"/>
    </row>
    <row r="9" spans="2:12" x14ac:dyDescent="0.3">
      <c r="B9" s="6">
        <v>2</v>
      </c>
      <c r="C9" s="8" t="s">
        <v>5</v>
      </c>
      <c r="D9" s="6">
        <v>200</v>
      </c>
      <c r="E9" s="6">
        <v>1500</v>
      </c>
      <c r="F9" s="4">
        <f t="shared" ref="F9:F15" si="0">D9*E9</f>
        <v>300000</v>
      </c>
      <c r="G9" s="6">
        <v>200</v>
      </c>
      <c r="H9" s="6">
        <v>600</v>
      </c>
      <c r="I9" s="4">
        <f t="shared" ref="I9:I15" si="1">G9*H9</f>
        <v>120000</v>
      </c>
      <c r="J9" s="6">
        <v>200</v>
      </c>
      <c r="K9" s="6">
        <v>100</v>
      </c>
      <c r="L9" s="4">
        <f t="shared" ref="L9:L15" si="2">J9*K9</f>
        <v>20000</v>
      </c>
    </row>
    <row r="10" spans="2:12" x14ac:dyDescent="0.3">
      <c r="B10" s="6"/>
      <c r="C10" s="8"/>
      <c r="D10" s="6"/>
      <c r="E10" s="6"/>
      <c r="F10" s="4"/>
      <c r="G10" s="6"/>
      <c r="H10" s="6"/>
      <c r="I10" s="4"/>
      <c r="J10" s="6"/>
      <c r="K10" s="6"/>
      <c r="L10" s="4"/>
    </row>
    <row r="11" spans="2:12" x14ac:dyDescent="0.3">
      <c r="B11" s="6">
        <v>3</v>
      </c>
      <c r="C11" s="8" t="s">
        <v>6</v>
      </c>
      <c r="D11" s="6">
        <v>500</v>
      </c>
      <c r="E11" s="6">
        <v>1000</v>
      </c>
      <c r="F11" s="4">
        <f t="shared" si="0"/>
        <v>500000</v>
      </c>
      <c r="G11" s="6">
        <v>500</v>
      </c>
      <c r="H11" s="6">
        <v>1800</v>
      </c>
      <c r="I11" s="4">
        <f t="shared" si="1"/>
        <v>900000</v>
      </c>
      <c r="J11" s="6">
        <v>500</v>
      </c>
      <c r="K11" s="6">
        <v>400</v>
      </c>
      <c r="L11" s="4">
        <f t="shared" si="2"/>
        <v>200000</v>
      </c>
    </row>
    <row r="12" spans="2:12" x14ac:dyDescent="0.3">
      <c r="B12" s="6"/>
      <c r="C12" s="8"/>
      <c r="D12" s="6"/>
      <c r="E12" s="6"/>
      <c r="F12" s="4"/>
      <c r="G12" s="6"/>
      <c r="H12" s="6"/>
      <c r="I12" s="4"/>
      <c r="J12" s="6"/>
      <c r="K12" s="6"/>
      <c r="L12" s="4"/>
    </row>
    <row r="13" spans="2:12" x14ac:dyDescent="0.3">
      <c r="B13" s="6">
        <v>4</v>
      </c>
      <c r="C13" s="8" t="s">
        <v>7</v>
      </c>
      <c r="D13" s="6">
        <v>50</v>
      </c>
      <c r="E13" s="6">
        <v>400</v>
      </c>
      <c r="F13" s="4">
        <f t="shared" si="0"/>
        <v>20000</v>
      </c>
      <c r="G13" s="6">
        <v>50</v>
      </c>
      <c r="H13" s="6">
        <v>2400</v>
      </c>
      <c r="I13" s="4">
        <f t="shared" si="1"/>
        <v>120000</v>
      </c>
      <c r="J13" s="6">
        <v>50</v>
      </c>
      <c r="K13" s="6">
        <v>500</v>
      </c>
      <c r="L13" s="4">
        <f t="shared" si="2"/>
        <v>25000</v>
      </c>
    </row>
    <row r="14" spans="2:12" x14ac:dyDescent="0.3">
      <c r="B14" s="6"/>
      <c r="C14" s="8"/>
      <c r="D14" s="6"/>
      <c r="E14" s="6"/>
      <c r="F14" s="4"/>
      <c r="G14" s="6"/>
      <c r="H14" s="6"/>
      <c r="I14" s="4"/>
      <c r="J14" s="6"/>
      <c r="K14" s="6"/>
      <c r="L14" s="4"/>
    </row>
    <row r="15" spans="2:12" x14ac:dyDescent="0.3">
      <c r="B15" s="6">
        <v>5</v>
      </c>
      <c r="C15" s="8" t="s">
        <v>8</v>
      </c>
      <c r="D15" s="6">
        <v>499</v>
      </c>
      <c r="E15" s="6">
        <v>300</v>
      </c>
      <c r="F15" s="4">
        <f t="shared" si="0"/>
        <v>149700</v>
      </c>
      <c r="G15" s="6">
        <v>499</v>
      </c>
      <c r="H15" s="6">
        <v>300</v>
      </c>
      <c r="I15" s="4">
        <f t="shared" si="1"/>
        <v>149700</v>
      </c>
      <c r="J15" s="6">
        <v>499</v>
      </c>
      <c r="K15" s="6">
        <v>300</v>
      </c>
      <c r="L15" s="4">
        <f t="shared" si="2"/>
        <v>149700</v>
      </c>
    </row>
    <row r="16" spans="2:12" x14ac:dyDescent="0.3">
      <c r="B16" s="6"/>
      <c r="C16" s="8"/>
      <c r="D16" s="6"/>
      <c r="E16" s="6"/>
      <c r="F16" s="4"/>
      <c r="G16" s="6"/>
      <c r="H16" s="6"/>
      <c r="I16" s="4"/>
      <c r="J16" s="6"/>
      <c r="K16" s="6"/>
      <c r="L16" s="4"/>
    </row>
    <row r="17" spans="2:12" x14ac:dyDescent="0.3">
      <c r="B17" s="9"/>
      <c r="C17" s="19" t="s">
        <v>10</v>
      </c>
      <c r="D17" s="19"/>
      <c r="E17" s="19"/>
      <c r="F17" s="20">
        <f>SUM(F7:F15)</f>
        <v>1079700</v>
      </c>
      <c r="G17" s="19"/>
      <c r="H17" s="19"/>
      <c r="I17" s="20">
        <f>SUM(I7:I15)</f>
        <v>1439700</v>
      </c>
      <c r="J17" s="19"/>
      <c r="K17" s="19"/>
      <c r="L17" s="20">
        <f>SUM(L7:L15)</f>
        <v>414700</v>
      </c>
    </row>
    <row r="18" spans="2:12" x14ac:dyDescent="0.3">
      <c r="B18" s="10"/>
      <c r="C18" s="19" t="s">
        <v>18</v>
      </c>
      <c r="D18" s="14" t="s">
        <v>21</v>
      </c>
      <c r="E18" s="15"/>
      <c r="F18" s="16"/>
      <c r="G18" s="14" t="s">
        <v>22</v>
      </c>
      <c r="H18" s="15"/>
      <c r="I18" s="16"/>
      <c r="J18" s="14" t="s">
        <v>22</v>
      </c>
      <c r="K18" s="15"/>
      <c r="L18" s="16"/>
    </row>
    <row r="19" spans="2:12" x14ac:dyDescent="0.3">
      <c r="B19" s="10"/>
      <c r="C19" s="19" t="s">
        <v>19</v>
      </c>
      <c r="D19" s="14" t="s">
        <v>23</v>
      </c>
      <c r="E19" s="15"/>
      <c r="F19" s="16"/>
      <c r="G19" s="14" t="s">
        <v>24</v>
      </c>
      <c r="H19" s="15"/>
      <c r="I19" s="16"/>
      <c r="J19" s="14" t="s">
        <v>25</v>
      </c>
      <c r="K19" s="15"/>
      <c r="L19" s="16"/>
    </row>
    <row r="20" spans="2:12" x14ac:dyDescent="0.3">
      <c r="B20" s="10"/>
      <c r="C20" s="19" t="s">
        <v>20</v>
      </c>
      <c r="D20" s="14" t="s">
        <v>26</v>
      </c>
      <c r="E20" s="15"/>
      <c r="F20" s="16"/>
      <c r="G20" s="14" t="s">
        <v>26</v>
      </c>
      <c r="H20" s="15"/>
      <c r="I20" s="16"/>
      <c r="J20" s="14" t="s">
        <v>26</v>
      </c>
      <c r="K20" s="15"/>
      <c r="L20" s="16"/>
    </row>
  </sheetData>
  <mergeCells count="15">
    <mergeCell ref="D20:F20"/>
    <mergeCell ref="G20:I20"/>
    <mergeCell ref="J20:L20"/>
    <mergeCell ref="D18:F18"/>
    <mergeCell ref="G18:I18"/>
    <mergeCell ref="J18:L18"/>
    <mergeCell ref="D19:F19"/>
    <mergeCell ref="G19:I19"/>
    <mergeCell ref="J19:L19"/>
    <mergeCell ref="D4:F4"/>
    <mergeCell ref="C4:C5"/>
    <mergeCell ref="B4:B5"/>
    <mergeCell ref="G4:I4"/>
    <mergeCell ref="J4:L4"/>
    <mergeCell ref="D1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FDF6-68D9-442D-BAC0-3B11DCAF111C}">
  <dimension ref="A1:F34"/>
  <sheetViews>
    <sheetView workbookViewId="0">
      <selection sqref="A1:F3"/>
    </sheetView>
  </sheetViews>
  <sheetFormatPr defaultRowHeight="14.4" x14ac:dyDescent="0.3"/>
  <cols>
    <col min="1" max="1" width="23.44140625" style="38" customWidth="1"/>
    <col min="2" max="2" width="22.88671875" style="38" customWidth="1"/>
    <col min="3" max="3" width="23.44140625" style="38" customWidth="1"/>
    <col min="4" max="4" width="11.5546875" style="38" customWidth="1"/>
    <col min="5" max="5" width="11.77734375" style="38" customWidth="1"/>
    <col min="6" max="6" width="21.6640625" style="38" customWidth="1"/>
    <col min="7" max="16384" width="8.88671875" style="38"/>
  </cols>
  <sheetData>
    <row r="1" spans="1:6" x14ac:dyDescent="0.3">
      <c r="A1" s="40" t="s">
        <v>75</v>
      </c>
      <c r="B1" s="41"/>
      <c r="C1" s="41"/>
      <c r="D1" s="41"/>
      <c r="E1" s="41"/>
      <c r="F1" s="42"/>
    </row>
    <row r="2" spans="1:6" x14ac:dyDescent="0.3">
      <c r="A2" s="43"/>
      <c r="B2" s="44"/>
      <c r="C2" s="44"/>
      <c r="D2" s="44"/>
      <c r="E2" s="44"/>
      <c r="F2" s="45"/>
    </row>
    <row r="3" spans="1:6" x14ac:dyDescent="0.3">
      <c r="A3" s="46"/>
      <c r="B3" s="39"/>
      <c r="C3" s="39"/>
      <c r="D3" s="39"/>
      <c r="E3" s="39"/>
      <c r="F3" s="47"/>
    </row>
    <row r="4" spans="1:6" x14ac:dyDescent="0.3">
      <c r="A4" s="49" t="s">
        <v>27</v>
      </c>
      <c r="B4" s="50" t="s">
        <v>28</v>
      </c>
      <c r="C4" s="50" t="s">
        <v>69</v>
      </c>
      <c r="D4" s="50" t="s">
        <v>2</v>
      </c>
      <c r="E4" s="50" t="s">
        <v>9</v>
      </c>
      <c r="F4" s="51" t="s">
        <v>3</v>
      </c>
    </row>
    <row r="5" spans="1:6" x14ac:dyDescent="0.3">
      <c r="A5" s="54"/>
      <c r="B5" s="54"/>
      <c r="C5" s="54"/>
      <c r="D5" s="54"/>
      <c r="E5" s="54"/>
      <c r="F5" s="54"/>
    </row>
    <row r="6" spans="1:6" x14ac:dyDescent="0.3">
      <c r="A6" s="52" t="s">
        <v>35</v>
      </c>
      <c r="B6" s="55" t="s">
        <v>40</v>
      </c>
      <c r="C6" s="53" t="s">
        <v>4</v>
      </c>
      <c r="D6" s="55">
        <v>100</v>
      </c>
      <c r="E6" s="53">
        <v>1100</v>
      </c>
      <c r="F6" s="55">
        <v>110000</v>
      </c>
    </row>
    <row r="7" spans="1:6" x14ac:dyDescent="0.3">
      <c r="A7" s="55"/>
      <c r="B7" s="55"/>
      <c r="C7" s="55"/>
      <c r="D7" s="55"/>
      <c r="E7" s="55"/>
      <c r="F7" s="55"/>
    </row>
    <row r="8" spans="1:6" x14ac:dyDescent="0.3">
      <c r="A8" s="55" t="s">
        <v>35</v>
      </c>
      <c r="B8" s="55" t="s">
        <v>40</v>
      </c>
      <c r="C8" s="55" t="s">
        <v>5</v>
      </c>
      <c r="D8" s="55">
        <v>200</v>
      </c>
      <c r="E8" s="53">
        <v>1500</v>
      </c>
      <c r="F8" s="55">
        <v>300000</v>
      </c>
    </row>
    <row r="9" spans="1:6" x14ac:dyDescent="0.3">
      <c r="A9" s="55"/>
      <c r="B9" s="55"/>
      <c r="C9" s="55"/>
      <c r="D9" s="55"/>
      <c r="E9" s="55"/>
      <c r="F9" s="55"/>
    </row>
    <row r="10" spans="1:6" x14ac:dyDescent="0.3">
      <c r="A10" s="55" t="s">
        <v>35</v>
      </c>
      <c r="B10" s="55" t="s">
        <v>40</v>
      </c>
      <c r="C10" s="55" t="s">
        <v>6</v>
      </c>
      <c r="D10" s="55">
        <v>500</v>
      </c>
      <c r="E10" s="55">
        <v>1000</v>
      </c>
      <c r="F10" s="55">
        <v>500000</v>
      </c>
    </row>
    <row r="11" spans="1:6" x14ac:dyDescent="0.3">
      <c r="A11" s="55"/>
      <c r="B11" s="55"/>
      <c r="C11" s="55"/>
      <c r="D11" s="55"/>
      <c r="E11" s="55"/>
      <c r="F11" s="55"/>
    </row>
    <row r="12" spans="1:6" x14ac:dyDescent="0.3">
      <c r="A12" s="55" t="s">
        <v>35</v>
      </c>
      <c r="B12" s="55" t="s">
        <v>40</v>
      </c>
      <c r="C12" s="55" t="s">
        <v>7</v>
      </c>
      <c r="D12" s="55">
        <v>50</v>
      </c>
      <c r="E12" s="55">
        <v>400</v>
      </c>
      <c r="F12" s="55">
        <v>20000</v>
      </c>
    </row>
    <row r="13" spans="1:6" x14ac:dyDescent="0.3">
      <c r="A13" s="55"/>
      <c r="B13" s="55"/>
      <c r="C13" s="55"/>
      <c r="D13" s="55"/>
      <c r="E13" s="55"/>
      <c r="F13" s="55"/>
    </row>
    <row r="14" spans="1:6" x14ac:dyDescent="0.3">
      <c r="A14" s="55" t="s">
        <v>35</v>
      </c>
      <c r="B14" s="55" t="s">
        <v>40</v>
      </c>
      <c r="C14" s="55" t="s">
        <v>70</v>
      </c>
      <c r="D14" s="55">
        <v>499</v>
      </c>
      <c r="E14" s="55">
        <v>300</v>
      </c>
      <c r="F14" s="55">
        <v>149700</v>
      </c>
    </row>
    <row r="15" spans="1:6" x14ac:dyDescent="0.3">
      <c r="A15" s="55"/>
      <c r="B15" s="55"/>
      <c r="C15" s="55"/>
      <c r="D15" s="55"/>
      <c r="E15" s="55"/>
      <c r="F15" s="55"/>
    </row>
    <row r="16" spans="1:6" x14ac:dyDescent="0.3">
      <c r="A16" s="55" t="s">
        <v>36</v>
      </c>
      <c r="B16" s="55" t="s">
        <v>41</v>
      </c>
      <c r="C16" s="55" t="s">
        <v>4</v>
      </c>
      <c r="D16" s="55">
        <v>100</v>
      </c>
      <c r="E16" s="55">
        <v>1500</v>
      </c>
      <c r="F16" s="55">
        <v>150000</v>
      </c>
    </row>
    <row r="17" spans="1:6" x14ac:dyDescent="0.3">
      <c r="A17" s="55"/>
      <c r="B17" s="55"/>
      <c r="C17" s="55"/>
      <c r="D17" s="55"/>
      <c r="E17" s="55"/>
      <c r="F17" s="55"/>
    </row>
    <row r="18" spans="1:6" x14ac:dyDescent="0.3">
      <c r="A18" s="55" t="s">
        <v>36</v>
      </c>
      <c r="B18" s="55" t="s">
        <v>41</v>
      </c>
      <c r="C18" s="55" t="s">
        <v>5</v>
      </c>
      <c r="D18" s="55">
        <v>200</v>
      </c>
      <c r="E18" s="55">
        <v>600</v>
      </c>
      <c r="F18" s="55">
        <v>120000</v>
      </c>
    </row>
    <row r="19" spans="1:6" x14ac:dyDescent="0.3">
      <c r="A19" s="55"/>
      <c r="B19" s="55"/>
      <c r="C19" s="55"/>
      <c r="D19" s="55"/>
      <c r="E19" s="55"/>
      <c r="F19" s="55"/>
    </row>
    <row r="20" spans="1:6" x14ac:dyDescent="0.3">
      <c r="A20" s="55" t="s">
        <v>36</v>
      </c>
      <c r="B20" s="55" t="s">
        <v>41</v>
      </c>
      <c r="C20" s="55" t="s">
        <v>6</v>
      </c>
      <c r="D20" s="55">
        <v>500</v>
      </c>
      <c r="E20" s="55">
        <v>1800</v>
      </c>
      <c r="F20" s="55">
        <v>900000</v>
      </c>
    </row>
    <row r="21" spans="1:6" x14ac:dyDescent="0.3">
      <c r="A21" s="55"/>
      <c r="B21" s="55"/>
      <c r="C21" s="55"/>
      <c r="D21" s="55"/>
      <c r="E21" s="55"/>
      <c r="F21" s="55"/>
    </row>
    <row r="22" spans="1:6" x14ac:dyDescent="0.3">
      <c r="A22" s="55" t="s">
        <v>36</v>
      </c>
      <c r="B22" s="55" t="s">
        <v>41</v>
      </c>
      <c r="C22" s="55" t="s">
        <v>7</v>
      </c>
      <c r="D22" s="55">
        <v>50</v>
      </c>
      <c r="E22" s="55">
        <v>2400</v>
      </c>
      <c r="F22" s="55">
        <v>120000</v>
      </c>
    </row>
    <row r="23" spans="1:6" x14ac:dyDescent="0.3">
      <c r="A23" s="55"/>
      <c r="B23" s="55"/>
      <c r="C23" s="55"/>
      <c r="D23" s="55"/>
      <c r="E23" s="55"/>
      <c r="F23" s="55"/>
    </row>
    <row r="24" spans="1:6" x14ac:dyDescent="0.3">
      <c r="A24" s="55" t="s">
        <v>36</v>
      </c>
      <c r="B24" s="55" t="s">
        <v>41</v>
      </c>
      <c r="C24" s="55" t="s">
        <v>70</v>
      </c>
      <c r="D24" s="55">
        <v>499</v>
      </c>
      <c r="E24" s="55">
        <v>300</v>
      </c>
      <c r="F24" s="55">
        <v>149700</v>
      </c>
    </row>
    <row r="25" spans="1:6" x14ac:dyDescent="0.3">
      <c r="A25" s="55"/>
      <c r="B25" s="55"/>
      <c r="C25" s="55"/>
      <c r="D25" s="55"/>
      <c r="E25" s="55"/>
      <c r="F25" s="55"/>
    </row>
    <row r="26" spans="1:6" x14ac:dyDescent="0.3">
      <c r="A26" s="55" t="s">
        <v>37</v>
      </c>
      <c r="B26" s="55" t="s">
        <v>42</v>
      </c>
      <c r="C26" s="55" t="s">
        <v>4</v>
      </c>
      <c r="D26" s="55">
        <v>100</v>
      </c>
      <c r="E26" s="55">
        <v>200</v>
      </c>
      <c r="F26" s="55">
        <v>20000</v>
      </c>
    </row>
    <row r="27" spans="1:6" x14ac:dyDescent="0.3">
      <c r="A27" s="55"/>
      <c r="B27" s="55"/>
      <c r="C27" s="55"/>
      <c r="D27" s="55"/>
      <c r="E27" s="55"/>
      <c r="F27" s="55"/>
    </row>
    <row r="28" spans="1:6" x14ac:dyDescent="0.3">
      <c r="A28" s="55" t="s">
        <v>37</v>
      </c>
      <c r="B28" s="55" t="s">
        <v>42</v>
      </c>
      <c r="C28" s="55" t="s">
        <v>5</v>
      </c>
      <c r="D28" s="55">
        <v>200</v>
      </c>
      <c r="E28" s="55">
        <v>100</v>
      </c>
      <c r="F28" s="55">
        <v>20000</v>
      </c>
    </row>
    <row r="29" spans="1:6" x14ac:dyDescent="0.3">
      <c r="A29" s="55"/>
      <c r="B29" s="55"/>
      <c r="C29" s="55"/>
      <c r="D29" s="55"/>
      <c r="E29" s="55"/>
      <c r="F29" s="55"/>
    </row>
    <row r="30" spans="1:6" x14ac:dyDescent="0.3">
      <c r="A30" s="55" t="s">
        <v>37</v>
      </c>
      <c r="B30" s="55" t="s">
        <v>42</v>
      </c>
      <c r="C30" s="55" t="s">
        <v>6</v>
      </c>
      <c r="D30" s="55">
        <v>500</v>
      </c>
      <c r="E30" s="55">
        <v>400</v>
      </c>
      <c r="F30" s="55">
        <v>200000</v>
      </c>
    </row>
    <row r="31" spans="1:6" x14ac:dyDescent="0.3">
      <c r="A31" s="55"/>
      <c r="B31" s="55"/>
      <c r="C31" s="55"/>
      <c r="D31" s="55"/>
      <c r="E31" s="55"/>
      <c r="F31" s="55"/>
    </row>
    <row r="32" spans="1:6" x14ac:dyDescent="0.3">
      <c r="A32" s="55" t="s">
        <v>37</v>
      </c>
      <c r="B32" s="55" t="s">
        <v>42</v>
      </c>
      <c r="C32" s="55" t="s">
        <v>7</v>
      </c>
      <c r="D32" s="55">
        <v>50</v>
      </c>
      <c r="E32" s="55">
        <v>500</v>
      </c>
      <c r="F32" s="55">
        <v>25000</v>
      </c>
    </row>
    <row r="33" spans="1:6" x14ac:dyDescent="0.3">
      <c r="A33" s="55"/>
      <c r="B33" s="55"/>
      <c r="C33" s="55"/>
      <c r="D33" s="55"/>
      <c r="E33" s="55"/>
      <c r="F33" s="55"/>
    </row>
    <row r="34" spans="1:6" x14ac:dyDescent="0.3">
      <c r="A34" s="55" t="s">
        <v>37</v>
      </c>
      <c r="B34" s="55" t="s">
        <v>42</v>
      </c>
      <c r="C34" s="55" t="s">
        <v>70</v>
      </c>
      <c r="D34" s="55">
        <v>499</v>
      </c>
      <c r="E34" s="55">
        <v>300</v>
      </c>
      <c r="F34" s="55">
        <v>149700</v>
      </c>
    </row>
  </sheetData>
  <mergeCells count="1">
    <mergeCell ref="A1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C6E0-7EE6-4C34-BE1C-AD4948695AE8}">
  <dimension ref="A1:G25"/>
  <sheetViews>
    <sheetView workbookViewId="0">
      <selection activeCell="E18" sqref="E18"/>
    </sheetView>
  </sheetViews>
  <sheetFormatPr defaultRowHeight="14.4" x14ac:dyDescent="0.3"/>
  <cols>
    <col min="1" max="1" width="13.5546875" bestFit="1" customWidth="1"/>
    <col min="2" max="2" width="18.6640625" customWidth="1"/>
    <col min="3" max="3" width="17.109375" customWidth="1"/>
    <col min="4" max="4" width="19.21875" customWidth="1"/>
    <col min="5" max="5" width="14.88671875" customWidth="1"/>
    <col min="6" max="6" width="9.6640625" bestFit="1" customWidth="1"/>
    <col min="7" max="8" width="10.5546875" bestFit="1" customWidth="1"/>
  </cols>
  <sheetData>
    <row r="1" spans="1:7" x14ac:dyDescent="0.3">
      <c r="A1" s="59" t="s">
        <v>76</v>
      </c>
      <c r="B1" s="59"/>
      <c r="C1" s="59"/>
      <c r="D1" s="59"/>
      <c r="E1" s="59"/>
      <c r="F1" s="59"/>
      <c r="G1" s="59"/>
    </row>
    <row r="2" spans="1:7" x14ac:dyDescent="0.3">
      <c r="A2" s="59"/>
      <c r="B2" s="59"/>
      <c r="C2" s="59"/>
      <c r="D2" s="59"/>
      <c r="E2" s="59"/>
      <c r="F2" s="59"/>
      <c r="G2" s="59"/>
    </row>
    <row r="3" spans="1:7" x14ac:dyDescent="0.3">
      <c r="A3" s="56" t="s">
        <v>74</v>
      </c>
      <c r="B3" s="56" t="s">
        <v>73</v>
      </c>
    </row>
    <row r="4" spans="1:7" x14ac:dyDescent="0.3">
      <c r="A4" s="56" t="s">
        <v>71</v>
      </c>
      <c r="B4" t="s">
        <v>70</v>
      </c>
      <c r="C4" t="s">
        <v>6</v>
      </c>
      <c r="D4" t="s">
        <v>5</v>
      </c>
      <c r="E4" t="s">
        <v>4</v>
      </c>
      <c r="F4" t="s">
        <v>7</v>
      </c>
      <c r="G4" t="s">
        <v>72</v>
      </c>
    </row>
    <row r="5" spans="1:7" x14ac:dyDescent="0.3">
      <c r="A5" s="57" t="s">
        <v>40</v>
      </c>
      <c r="B5" s="58">
        <v>149700</v>
      </c>
      <c r="C5" s="58">
        <v>500000</v>
      </c>
      <c r="D5" s="58">
        <v>300000</v>
      </c>
      <c r="E5" s="58">
        <v>110000</v>
      </c>
      <c r="F5" s="58">
        <v>20000</v>
      </c>
      <c r="G5" s="58">
        <v>1079700</v>
      </c>
    </row>
    <row r="6" spans="1:7" x14ac:dyDescent="0.3">
      <c r="A6" s="57" t="s">
        <v>42</v>
      </c>
      <c r="B6" s="58">
        <v>149700</v>
      </c>
      <c r="C6" s="58">
        <v>200000</v>
      </c>
      <c r="D6" s="58">
        <v>20000</v>
      </c>
      <c r="E6" s="58">
        <v>20000</v>
      </c>
      <c r="F6" s="58">
        <v>25000</v>
      </c>
      <c r="G6" s="58">
        <v>414700</v>
      </c>
    </row>
    <row r="7" spans="1:7" x14ac:dyDescent="0.3">
      <c r="A7" s="57" t="s">
        <v>41</v>
      </c>
      <c r="B7" s="58">
        <v>149700</v>
      </c>
      <c r="C7" s="58">
        <v>900000</v>
      </c>
      <c r="D7" s="58">
        <v>120000</v>
      </c>
      <c r="E7" s="58">
        <v>150000</v>
      </c>
      <c r="F7" s="58">
        <v>120000</v>
      </c>
      <c r="G7" s="58">
        <v>1439700</v>
      </c>
    </row>
    <row r="8" spans="1:7" x14ac:dyDescent="0.3">
      <c r="A8" s="57" t="s">
        <v>72</v>
      </c>
      <c r="B8" s="58">
        <v>449100</v>
      </c>
      <c r="C8" s="58">
        <v>1600000</v>
      </c>
      <c r="D8" s="58">
        <v>440000</v>
      </c>
      <c r="E8" s="58">
        <v>280000</v>
      </c>
      <c r="F8" s="58">
        <v>165000</v>
      </c>
      <c r="G8" s="58">
        <v>2934100</v>
      </c>
    </row>
    <row r="12" spans="1:7" x14ac:dyDescent="0.3">
      <c r="A12" s="61" t="s">
        <v>87</v>
      </c>
      <c r="B12" s="62"/>
      <c r="C12" s="62"/>
      <c r="D12" s="62"/>
      <c r="E12" s="63"/>
    </row>
    <row r="13" spans="1:7" x14ac:dyDescent="0.3">
      <c r="A13" s="64"/>
      <c r="B13" s="65"/>
      <c r="C13" s="65"/>
      <c r="D13" s="65"/>
      <c r="E13" s="66"/>
    </row>
    <row r="14" spans="1:7" x14ac:dyDescent="0.3">
      <c r="A14" s="60" t="s">
        <v>77</v>
      </c>
      <c r="B14" s="60" t="s">
        <v>78</v>
      </c>
      <c r="C14" s="60" t="s">
        <v>18</v>
      </c>
      <c r="D14" s="60" t="s">
        <v>79</v>
      </c>
      <c r="E14" s="60" t="s">
        <v>80</v>
      </c>
    </row>
    <row r="15" spans="1:7" x14ac:dyDescent="0.3">
      <c r="A15" s="48" t="s">
        <v>40</v>
      </c>
      <c r="B15" s="48" t="s">
        <v>81</v>
      </c>
      <c r="C15" s="48" t="s">
        <v>21</v>
      </c>
      <c r="D15" s="48" t="s">
        <v>23</v>
      </c>
      <c r="E15" s="48" t="s">
        <v>82</v>
      </c>
    </row>
    <row r="16" spans="1:7" ht="20.399999999999999" customHeight="1" x14ac:dyDescent="0.3">
      <c r="A16" s="48" t="s">
        <v>41</v>
      </c>
      <c r="B16" s="48" t="s">
        <v>83</v>
      </c>
      <c r="C16" s="48" t="s">
        <v>22</v>
      </c>
      <c r="D16" s="48" t="s">
        <v>24</v>
      </c>
      <c r="E16" s="48" t="s">
        <v>84</v>
      </c>
    </row>
    <row r="17" spans="1:5" x14ac:dyDescent="0.3">
      <c r="A17" s="48" t="s">
        <v>42</v>
      </c>
      <c r="B17" s="48" t="s">
        <v>85</v>
      </c>
      <c r="C17" s="48" t="s">
        <v>22</v>
      </c>
      <c r="D17" s="48" t="s">
        <v>25</v>
      </c>
      <c r="E17" s="48" t="s">
        <v>86</v>
      </c>
    </row>
    <row r="21" spans="1:5" x14ac:dyDescent="0.3">
      <c r="A21" s="70" t="s">
        <v>88</v>
      </c>
      <c r="B21" s="71"/>
      <c r="C21" s="72"/>
    </row>
    <row r="22" spans="1:5" x14ac:dyDescent="0.3">
      <c r="A22" s="67" t="s">
        <v>89</v>
      </c>
      <c r="B22" s="68"/>
      <c r="C22" s="69"/>
    </row>
    <row r="23" spans="1:5" x14ac:dyDescent="0.3">
      <c r="A23" s="67" t="s">
        <v>90</v>
      </c>
      <c r="B23" s="68"/>
      <c r="C23" s="69"/>
    </row>
    <row r="24" spans="1:5" x14ac:dyDescent="0.3">
      <c r="A24" s="67" t="s">
        <v>91</v>
      </c>
      <c r="B24" s="68"/>
      <c r="C24" s="69"/>
    </row>
    <row r="25" spans="1:5" x14ac:dyDescent="0.3">
      <c r="A25" s="67" t="s">
        <v>92</v>
      </c>
      <c r="B25" s="68"/>
      <c r="C25" s="69"/>
    </row>
  </sheetData>
  <mergeCells count="7">
    <mergeCell ref="A25:C25"/>
    <mergeCell ref="A1:G2"/>
    <mergeCell ref="A12:E13"/>
    <mergeCell ref="A21:C21"/>
    <mergeCell ref="A22:C22"/>
    <mergeCell ref="A23:C23"/>
    <mergeCell ref="A24:C24"/>
  </mergeCell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 data base</vt:lpstr>
      <vt:lpstr>vendor quotation comparison </vt:lpstr>
      <vt:lpstr>Purchase orders</vt:lpstr>
      <vt:lpstr>MIS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kumar</dc:creator>
  <cp:lastModifiedBy>tanish kumar</cp:lastModifiedBy>
  <dcterms:created xsi:type="dcterms:W3CDTF">2026-08-13T14:15:04Z</dcterms:created>
  <dcterms:modified xsi:type="dcterms:W3CDTF">2026-08-13T15:44:10Z</dcterms:modified>
</cp:coreProperties>
</file>